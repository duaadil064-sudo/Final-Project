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tor Information" sheetId="1" r:id="rId5"/>
    <sheet state="visible" name="Appointment" sheetId="2" r:id="rId6"/>
    <sheet state="visible" name="Billing" sheetId="3" r:id="rId7"/>
    <sheet state="visible" name="Daily Revenue  Summary" sheetId="4" r:id="rId8"/>
    <sheet state="visible" name="Doctor wise performance Dashboa" sheetId="5" r:id="rId9"/>
  </sheets>
  <definedNames/>
  <calcPr/>
</workbook>
</file>

<file path=xl/sharedStrings.xml><?xml version="1.0" encoding="utf-8"?>
<sst xmlns="http://schemas.openxmlformats.org/spreadsheetml/2006/main" count="76" uniqueCount="48">
  <si>
    <t>Doctor ID</t>
  </si>
  <si>
    <t>Doctor Name</t>
  </si>
  <si>
    <t>Department</t>
  </si>
  <si>
    <t>Consultation Fee</t>
  </si>
  <si>
    <t>D001</t>
  </si>
  <si>
    <t>Dr. Ahmed Khan</t>
  </si>
  <si>
    <t>Cardiology</t>
  </si>
  <si>
    <t>D002</t>
  </si>
  <si>
    <t>Dr. Sara Ali</t>
  </si>
  <si>
    <t>Pediatrics</t>
  </si>
  <si>
    <t>D003</t>
  </si>
  <si>
    <t>Dr. Usman Raza</t>
  </si>
  <si>
    <t>Orthopedics</t>
  </si>
  <si>
    <t>D004</t>
  </si>
  <si>
    <t>Dr. Ayesha Noor</t>
  </si>
  <si>
    <t>Neurology</t>
  </si>
  <si>
    <t>Appointment ID</t>
  </si>
  <si>
    <t>Patient Name</t>
  </si>
  <si>
    <t>Appointment Date</t>
  </si>
  <si>
    <t>Appointment Time</t>
  </si>
  <si>
    <t>Arrival Time</t>
  </si>
  <si>
    <t>Delay (mins)</t>
  </si>
  <si>
    <t>Status</t>
  </si>
  <si>
    <t>A101</t>
  </si>
  <si>
    <t>Ali Hassan</t>
  </si>
  <si>
    <t>A102</t>
  </si>
  <si>
    <t>Sana Malik</t>
  </si>
  <si>
    <t>A103</t>
  </si>
  <si>
    <t>Umar Farooq</t>
  </si>
  <si>
    <t>A104</t>
  </si>
  <si>
    <t>Hina Shah</t>
  </si>
  <si>
    <t>A105</t>
  </si>
  <si>
    <t>Bilal Ahmed</t>
  </si>
  <si>
    <t>A106</t>
  </si>
  <si>
    <t>Areeba Khan</t>
  </si>
  <si>
    <t>A107</t>
  </si>
  <si>
    <t>Salman Iqbal</t>
  </si>
  <si>
    <t>A108</t>
  </si>
  <si>
    <t>Noor Fatima</t>
  </si>
  <si>
    <t>A109</t>
  </si>
  <si>
    <t>Hamza Ali</t>
  </si>
  <si>
    <t>A110</t>
  </si>
  <si>
    <t>Zainab Noor</t>
  </si>
  <si>
    <t>Doctor Fee</t>
  </si>
  <si>
    <t>Total Bill</t>
  </si>
  <si>
    <t>Date</t>
  </si>
  <si>
    <t>Total Patients</t>
  </si>
  <si>
    <t>Total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</si>
</sst>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:mm:ss"/>
    <numFmt numFmtId="166" formatCode="dd-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center" readingOrder="0" shrinkToFit="0" vertical="center" wrapText="0"/>
    </xf>
    <xf borderId="1" fillId="0" fontId="2" numFmtId="165" xfId="0" applyAlignment="1" applyBorder="1" applyFont="1" applyNumberFormat="1">
      <alignment horizontal="center" readingOrder="0" shrinkToFit="0" vertical="center" wrapText="0"/>
    </xf>
    <xf borderId="1" fillId="0" fontId="2" numFmtId="3" xfId="0" applyAlignment="1" applyBorder="1" applyFont="1" applyNumberFormat="1">
      <alignment horizontal="center" readingOrder="0" shrinkToFit="0" vertical="center" wrapText="0"/>
    </xf>
    <xf borderId="1" fillId="0" fontId="2" numFmtId="165" xfId="0" applyAlignment="1" applyBorder="1" applyFont="1" applyNumberFormat="1">
      <alignment horizontal="center" shrinkToFit="0" vertical="center" wrapText="0"/>
    </xf>
    <xf borderId="0" fillId="0" fontId="2" numFmtId="165" xfId="0" applyFont="1" applyNumberFormat="1"/>
    <xf borderId="1" fillId="0" fontId="2" numFmtId="166" xfId="0" applyAlignment="1" applyBorder="1" applyFont="1" applyNumberFormat="1">
      <alignment horizontal="center" readingOrder="0" shrinkToFit="0" vertical="center" wrapText="0"/>
    </xf>
    <xf borderId="1" fillId="0" fontId="2" numFmtId="166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000000"/>
      </font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>
        <color rgb="FF000000"/>
      </font>
      <fill>
        <patternFill patternType="solid">
          <fgColor rgb="FFCC0000"/>
          <bgColor rgb="FFCC0000"/>
        </patternFill>
      </fill>
      <border/>
    </dxf>
  </dxfs>
  <tableStyles count="5">
    <tableStyle count="4" pivot="0" name="Doctor Inform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point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ill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ily Revenue 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octor wise performance Dashbo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Revenue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'Doctor wise performance Dashboa'!$C$1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'Doctor wise performance Dashboa'!$A$2:$A$5</c:f>
            </c:strRef>
          </c:cat>
          <c:val>
            <c:numRef>
              <c:f>'Doctor wise performance Dashboa'!$C$2:$C$5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19050</xdr:rowOff>
    </xdr:from>
    <xdr:ext cx="4143375" cy="2752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5" displayName="Table1" name="Table1" id="1">
  <tableColumns count="4">
    <tableColumn name="Doctor ID" id="1"/>
    <tableColumn name="Doctor Name" id="2"/>
    <tableColumn name="Department" id="3"/>
    <tableColumn name="Consultation Fee" id="4"/>
  </tableColumns>
  <tableStyleInfo name="Doctor Information-style" showColumnStripes="0" showFirstColumn="1" showLastColumn="1" showRowStripes="1"/>
</table>
</file>

<file path=xl/tables/table2.xml><?xml version="1.0" encoding="utf-8"?>
<table xmlns="http://schemas.openxmlformats.org/spreadsheetml/2006/main" ref="A1:H11" displayName="Table2" name="Table2" id="2">
  <tableColumns count="8">
    <tableColumn name="Appointment ID" id="1"/>
    <tableColumn name="Patient Name" id="2"/>
    <tableColumn name="Doctor ID" id="3"/>
    <tableColumn name="Appointment Date" id="4"/>
    <tableColumn name="Appointment Time" id="5"/>
    <tableColumn name="Arrival Time" id="6"/>
    <tableColumn name="Delay (mins)" id="7"/>
    <tableColumn name="Status" id="8"/>
  </tableColumns>
  <tableStyleInfo name="Appointment-style" showColumnStripes="0" showFirstColumn="1" showLastColumn="1" showRowStripes="1"/>
</table>
</file>

<file path=xl/tables/table3.xml><?xml version="1.0" encoding="utf-8"?>
<table xmlns="http://schemas.openxmlformats.org/spreadsheetml/2006/main" ref="A1:F11" displayName="Table3" name="Table3" id="3">
  <tableColumns count="6">
    <tableColumn name="Appointment ID" id="1"/>
    <tableColumn name="Appointment Date" id="2"/>
    <tableColumn name="Patient Name" id="3"/>
    <tableColumn name="Doctor ID" id="4"/>
    <tableColumn name="Doctor Fee" id="5"/>
    <tableColumn name="Total Bill" id="6"/>
  </tableColumns>
  <tableStyleInfo name="Billing-style" showColumnStripes="0" showFirstColumn="1" showLastColumn="1" showRowStripes="1"/>
</table>
</file>

<file path=xl/tables/table4.xml><?xml version="1.0" encoding="utf-8"?>
<table xmlns="http://schemas.openxmlformats.org/spreadsheetml/2006/main" ref="A1:C3" displayName="Table4" name="Table4" id="4">
  <tableColumns count="3">
    <tableColumn name="Date" id="1"/>
    <tableColumn name="Total Patients" id="2"/>
    <tableColumn name="Total Revenue" id="3"/>
  </tableColumns>
  <tableStyleInfo name="Daily Revenue  Summary-style" showColumnStripes="0" showFirstColumn="1" showLastColumn="1" showRowStripes="1"/>
</table>
</file>

<file path=xl/tables/table5.xml><?xml version="1.0" encoding="utf-8"?>
<table xmlns="http://schemas.openxmlformats.org/spreadsheetml/2006/main" ref="A1:C5" displayName="Table5" name="Table5" id="5">
  <tableColumns count="3">
    <tableColumn name="Doctor Name" id="1"/>
    <tableColumn name="Total Patients" id="2"/>
    <tableColumn name="Total Revenue" id="3"/>
  </tableColumns>
  <tableStyleInfo name="Doctor wise performance Dashbo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25"/>
    <col customWidth="1" min="3" max="3" width="14.38"/>
    <col customWidth="1" min="4" max="4" width="1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>
        <v>2000.0</v>
      </c>
    </row>
    <row r="3" ht="22.5" customHeight="1">
      <c r="A3" s="2" t="s">
        <v>7</v>
      </c>
      <c r="B3" s="2" t="s">
        <v>8</v>
      </c>
      <c r="C3" s="2" t="s">
        <v>9</v>
      </c>
      <c r="D3" s="2">
        <v>1500.0</v>
      </c>
    </row>
    <row r="4" ht="22.5" customHeight="1">
      <c r="A4" s="2" t="s">
        <v>10</v>
      </c>
      <c r="B4" s="2" t="s">
        <v>11</v>
      </c>
      <c r="C4" s="2" t="s">
        <v>12</v>
      </c>
      <c r="D4" s="2">
        <v>1800.0</v>
      </c>
    </row>
    <row r="5" ht="22.5" customHeight="1">
      <c r="A5" s="2" t="s">
        <v>13</v>
      </c>
      <c r="B5" s="2" t="s">
        <v>14</v>
      </c>
      <c r="C5" s="2" t="s">
        <v>15</v>
      </c>
      <c r="D5" s="2">
        <v>2500.0</v>
      </c>
    </row>
  </sheetData>
  <dataValidations>
    <dataValidation type="decimal" operator="greaterThan" allowBlank="1" showDropDown="1" sqref="D2:D5">
      <formula1>0.0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15.63"/>
    <col customWidth="1" min="3" max="3" width="15.75"/>
    <col customWidth="1" min="4" max="4" width="22.25"/>
    <col customWidth="1" min="5" max="5" width="22.63"/>
    <col customWidth="1" min="6" max="6" width="17.88"/>
    <col customWidth="1" min="7" max="7" width="18.13"/>
  </cols>
  <sheetData>
    <row r="1" ht="22.5" customHeight="1">
      <c r="A1" s="3" t="s">
        <v>16</v>
      </c>
      <c r="B1" s="3" t="s">
        <v>17</v>
      </c>
      <c r="C1" s="3" t="s">
        <v>0</v>
      </c>
      <c r="D1" s="4" t="s">
        <v>18</v>
      </c>
      <c r="E1" s="3" t="s">
        <v>19</v>
      </c>
      <c r="F1" s="3" t="s">
        <v>20</v>
      </c>
      <c r="G1" s="3" t="s">
        <v>21</v>
      </c>
      <c r="H1" s="3" t="s">
        <v>22</v>
      </c>
    </row>
    <row r="2" ht="22.5" customHeight="1">
      <c r="A2" s="5" t="s">
        <v>23</v>
      </c>
      <c r="B2" s="2" t="s">
        <v>24</v>
      </c>
      <c r="C2" s="5" t="s">
        <v>4</v>
      </c>
      <c r="D2" s="6">
        <v>46054.0</v>
      </c>
      <c r="E2" s="7">
        <v>0.375</v>
      </c>
      <c r="F2" s="7">
        <v>0.3715277777777778</v>
      </c>
      <c r="G2" s="8">
        <f t="shared" ref="G2:G11" si="1">IF(F2="", "", ROUND((F2 - E2) * 1440, 0))
</f>
        <v>-5</v>
      </c>
      <c r="H2" s="2" t="str">
        <f t="shared" ref="H2:H11" si="2">IF(F2="", "Missed", IF(G2&lt;=0, "On Time", "Late"))</f>
        <v>On Time</v>
      </c>
    </row>
    <row r="3" ht="22.5" customHeight="1">
      <c r="A3" s="5" t="s">
        <v>25</v>
      </c>
      <c r="B3" s="2" t="s">
        <v>26</v>
      </c>
      <c r="C3" s="5" t="s">
        <v>7</v>
      </c>
      <c r="D3" s="6">
        <v>46054.0</v>
      </c>
      <c r="E3" s="7">
        <v>0.3958333333333333</v>
      </c>
      <c r="F3" s="7">
        <v>0.4027777777777778</v>
      </c>
      <c r="G3" s="8">
        <f t="shared" si="1"/>
        <v>10</v>
      </c>
      <c r="H3" s="2" t="str">
        <f t="shared" si="2"/>
        <v>Late</v>
      </c>
    </row>
    <row r="4" ht="22.5" customHeight="1">
      <c r="A4" s="5" t="s">
        <v>27</v>
      </c>
      <c r="B4" s="2" t="s">
        <v>28</v>
      </c>
      <c r="C4" s="5" t="s">
        <v>10</v>
      </c>
      <c r="D4" s="6">
        <v>46054.0</v>
      </c>
      <c r="E4" s="7">
        <v>0.4166666666666667</v>
      </c>
      <c r="F4" s="9"/>
      <c r="G4" s="8" t="str">
        <f t="shared" si="1"/>
        <v/>
      </c>
      <c r="H4" s="2" t="str">
        <f t="shared" si="2"/>
        <v>Missed</v>
      </c>
    </row>
    <row r="5" ht="22.5" customHeight="1">
      <c r="A5" s="5" t="s">
        <v>29</v>
      </c>
      <c r="B5" s="2" t="s">
        <v>30</v>
      </c>
      <c r="C5" s="5" t="s">
        <v>4</v>
      </c>
      <c r="D5" s="6">
        <v>46054.0</v>
      </c>
      <c r="E5" s="7">
        <v>0.4375</v>
      </c>
      <c r="F5" s="7">
        <v>0.4375</v>
      </c>
      <c r="G5" s="8">
        <f t="shared" si="1"/>
        <v>0</v>
      </c>
      <c r="H5" s="2" t="str">
        <f t="shared" si="2"/>
        <v>On Time</v>
      </c>
    </row>
    <row r="6" ht="22.5" customHeight="1">
      <c r="A6" s="5" t="s">
        <v>31</v>
      </c>
      <c r="B6" s="2" t="s">
        <v>32</v>
      </c>
      <c r="C6" s="5" t="s">
        <v>13</v>
      </c>
      <c r="D6" s="6">
        <v>46054.0</v>
      </c>
      <c r="E6" s="7">
        <v>0.4583333333333333</v>
      </c>
      <c r="F6" s="7">
        <v>0.4652777777777778</v>
      </c>
      <c r="G6" s="8">
        <f t="shared" si="1"/>
        <v>10</v>
      </c>
      <c r="H6" s="2" t="str">
        <f t="shared" si="2"/>
        <v>Late</v>
      </c>
    </row>
    <row r="7" ht="22.5" customHeight="1">
      <c r="A7" s="5" t="s">
        <v>33</v>
      </c>
      <c r="B7" s="2" t="s">
        <v>34</v>
      </c>
      <c r="C7" s="5" t="s">
        <v>7</v>
      </c>
      <c r="D7" s="6">
        <v>46055.0</v>
      </c>
      <c r="E7" s="7">
        <v>0.375</v>
      </c>
      <c r="F7" s="7">
        <v>0.3784722222222222</v>
      </c>
      <c r="G7" s="8">
        <f t="shared" si="1"/>
        <v>5</v>
      </c>
      <c r="H7" s="2" t="str">
        <f t="shared" si="2"/>
        <v>Late</v>
      </c>
    </row>
    <row r="8" ht="22.5" customHeight="1">
      <c r="A8" s="5" t="s">
        <v>35</v>
      </c>
      <c r="B8" s="2" t="s">
        <v>36</v>
      </c>
      <c r="C8" s="5" t="s">
        <v>10</v>
      </c>
      <c r="D8" s="6">
        <v>46055.0</v>
      </c>
      <c r="E8" s="7">
        <v>0.3958333333333333</v>
      </c>
      <c r="F8" s="7">
        <v>0.3923611111111111</v>
      </c>
      <c r="G8" s="8">
        <f t="shared" si="1"/>
        <v>-5</v>
      </c>
      <c r="H8" s="2" t="str">
        <f t="shared" si="2"/>
        <v>On Time</v>
      </c>
    </row>
    <row r="9" ht="22.5" customHeight="1">
      <c r="A9" s="5" t="s">
        <v>37</v>
      </c>
      <c r="B9" s="2" t="s">
        <v>38</v>
      </c>
      <c r="C9" s="5" t="s">
        <v>13</v>
      </c>
      <c r="D9" s="6">
        <v>46055.0</v>
      </c>
      <c r="E9" s="7">
        <v>0.4166666666666667</v>
      </c>
      <c r="F9" s="7">
        <v>0.4305555555555556</v>
      </c>
      <c r="G9" s="8">
        <f t="shared" si="1"/>
        <v>20</v>
      </c>
      <c r="H9" s="2" t="str">
        <f t="shared" si="2"/>
        <v>Late</v>
      </c>
    </row>
    <row r="10" ht="22.5" customHeight="1">
      <c r="A10" s="5" t="s">
        <v>39</v>
      </c>
      <c r="B10" s="2" t="s">
        <v>40</v>
      </c>
      <c r="C10" s="5" t="s">
        <v>4</v>
      </c>
      <c r="D10" s="6">
        <v>46055.0</v>
      </c>
      <c r="E10" s="7">
        <v>0.4375</v>
      </c>
      <c r="F10" s="7">
        <v>0.4375</v>
      </c>
      <c r="G10" s="8">
        <f t="shared" si="1"/>
        <v>0</v>
      </c>
      <c r="H10" s="2" t="str">
        <f t="shared" si="2"/>
        <v>On Time</v>
      </c>
    </row>
    <row r="11" ht="22.5" customHeight="1">
      <c r="A11" s="5" t="s">
        <v>41</v>
      </c>
      <c r="B11" s="2" t="s">
        <v>42</v>
      </c>
      <c r="C11" s="5" t="s">
        <v>7</v>
      </c>
      <c r="D11" s="6">
        <v>46055.0</v>
      </c>
      <c r="E11" s="7">
        <v>0.4583333333333333</v>
      </c>
      <c r="F11" s="7">
        <v>0.4666666666666667</v>
      </c>
      <c r="G11" s="8">
        <f t="shared" si="1"/>
        <v>12</v>
      </c>
      <c r="H11" s="2" t="str">
        <f t="shared" si="2"/>
        <v>Late</v>
      </c>
    </row>
    <row r="12">
      <c r="F12" s="10"/>
    </row>
  </sheetData>
  <conditionalFormatting sqref="H2:H11">
    <cfRule type="containsText" dxfId="5" priority="1" operator="containsText" text="on time">
      <formula>NOT(ISERROR(SEARCH(("on time"),(H2))))</formula>
    </cfRule>
  </conditionalFormatting>
  <conditionalFormatting sqref="H2:H11">
    <cfRule type="containsText" dxfId="6" priority="2" operator="containsText" text="Late">
      <formula>NOT(ISERROR(SEARCH(("Late"),(H2))))</formula>
    </cfRule>
  </conditionalFormatting>
  <conditionalFormatting sqref="H2:H11">
    <cfRule type="containsText" dxfId="7" priority="3" operator="containsText" text="Missed">
      <formula>NOT(ISERROR(SEARCH(("Missed"),(H2))))</formula>
    </cfRule>
  </conditionalFormatting>
  <dataValidations>
    <dataValidation type="list" allowBlank="1" showErrorMessage="1" sqref="C2:C11">
      <formula1>"D001,D002,D003,D004"</formula1>
    </dataValidation>
    <dataValidation type="custom" allowBlank="1" showDropDown="1" sqref="E2:F11">
      <formula1>OR(TIMEVALUE(TEXT(E2, "hh:mm:ss"))=E2, AND(ISNUMBER(E2), LEFT(CELL("format", E2))="D"))</formula1>
    </dataValidation>
    <dataValidation type="custom" allowBlank="1" showDropDown="1" sqref="D2:D11">
      <formula1>OR(NOT(ISERROR(DATEVALUE(D2))), AND(ISNUMBER(D2), LEFT(CELL("format", D2))="D"))</formula1>
    </dataValidation>
    <dataValidation type="list" allowBlank="1" showErrorMessage="1" sqref="A2:A11">
      <formula1>"A101,A102,A103,A104,A105,A106,A107,A108,A109,A110"</formula1>
    </dataValidation>
    <dataValidation type="custom" allowBlank="1" showDropDown="1" sqref="G2:G11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22.25"/>
    <col customWidth="1" min="3" max="3" width="15.63"/>
    <col customWidth="1" min="5" max="5" width="13.63"/>
  </cols>
  <sheetData>
    <row r="1" ht="22.5" customHeight="1">
      <c r="A1" s="1" t="s">
        <v>16</v>
      </c>
      <c r="B1" s="1" t="s">
        <v>18</v>
      </c>
      <c r="C1" s="1" t="s">
        <v>17</v>
      </c>
      <c r="D1" s="1" t="s">
        <v>0</v>
      </c>
      <c r="E1" s="1" t="s">
        <v>43</v>
      </c>
      <c r="F1" s="1" t="s">
        <v>44</v>
      </c>
    </row>
    <row r="2" ht="22.5" customHeight="1">
      <c r="A2" s="2" t="s">
        <v>23</v>
      </c>
      <c r="B2" s="11">
        <f>VLOOKUP(A2,Appointment!A1:H11,4,False)</f>
        <v>46054</v>
      </c>
      <c r="C2" s="2" t="str">
        <f>VLOOKUP(A2,Appointment!A1:H11,2,FALSE)
</f>
        <v>Ali Hassan</v>
      </c>
      <c r="D2" s="2" t="str">
        <f>VLOOKUP(A2,Appointment!A2:H11,3,FALSE)</f>
        <v>D001</v>
      </c>
      <c r="E2" s="2">
        <f>VLOOKUP(D2,'Doctor Information'!A:D,4,False)</f>
        <v>2000</v>
      </c>
      <c r="F2" s="2">
        <f t="shared" ref="F2:F11" si="1">E2:E11</f>
        <v>2000</v>
      </c>
    </row>
    <row r="3" ht="22.5" customHeight="1">
      <c r="A3" s="2" t="s">
        <v>25</v>
      </c>
      <c r="B3" s="11">
        <f>VLOOKUP(A3,Appointment!A2:H12,4,False)</f>
        <v>46054</v>
      </c>
      <c r="C3" s="2" t="str">
        <f>VLOOKUP(A3,Appointment!A2:H11,2,FALSE)
</f>
        <v>Sana Malik</v>
      </c>
      <c r="D3" s="2" t="str">
        <f>VLOOKUP(A3,Appointment!A3:H12,3,FALSE)</f>
        <v>D002</v>
      </c>
      <c r="E3" s="2">
        <f>VLOOKUP(D3,'Doctor Information'!A:D,4,False)</f>
        <v>1500</v>
      </c>
      <c r="F3" s="2">
        <f t="shared" si="1"/>
        <v>1500</v>
      </c>
    </row>
    <row r="4" ht="22.5" customHeight="1">
      <c r="A4" s="2" t="s">
        <v>27</v>
      </c>
      <c r="B4" s="11">
        <f>VLOOKUP(A4,Appointment!A3:H13,4,False)</f>
        <v>46054</v>
      </c>
      <c r="C4" s="2" t="str">
        <f>VLOOKUP(A4,Appointment!A3:H13,2,FALSE)
</f>
        <v>Umar Farooq</v>
      </c>
      <c r="D4" s="2" t="str">
        <f>VLOOKUP(A4,Appointment!A4:H13,3,FALSE)</f>
        <v>D003</v>
      </c>
      <c r="E4" s="2">
        <f>VLOOKUP(D4,'Doctor Information'!A:D,4,False)</f>
        <v>1800</v>
      </c>
      <c r="F4" s="2">
        <f t="shared" si="1"/>
        <v>1800</v>
      </c>
    </row>
    <row r="5" ht="22.5" customHeight="1">
      <c r="A5" s="2" t="s">
        <v>29</v>
      </c>
      <c r="B5" s="11">
        <f>VLOOKUP(A5,Appointment!A4:H14,4,False)</f>
        <v>46054</v>
      </c>
      <c r="C5" s="2" t="str">
        <f>VLOOKUP(A5,Appointment!A4:H14,2,FALSE)
</f>
        <v>Hina Shah</v>
      </c>
      <c r="D5" s="2" t="str">
        <f>VLOOKUP(A5,Appointment!A5:H14,3,FALSE)</f>
        <v>D001</v>
      </c>
      <c r="E5" s="2">
        <f>VLOOKUP(D5,'Doctor Information'!A:D,4,False)</f>
        <v>2000</v>
      </c>
      <c r="F5" s="2">
        <f t="shared" si="1"/>
        <v>2000</v>
      </c>
    </row>
    <row r="6" ht="22.5" customHeight="1">
      <c r="A6" s="2" t="s">
        <v>31</v>
      </c>
      <c r="B6" s="11">
        <f>VLOOKUP(A6,Appointment!A5:H15,4,False)</f>
        <v>46054</v>
      </c>
      <c r="C6" s="2" t="str">
        <f>VLOOKUP(A6,Appointment!A5:H15,2,FALSE)
</f>
        <v>Bilal Ahmed</v>
      </c>
      <c r="D6" s="2" t="str">
        <f>VLOOKUP(A6,Appointment!A6:H15,3,FALSE)</f>
        <v>D004</v>
      </c>
      <c r="E6" s="2">
        <f>VLOOKUP(D6,'Doctor Information'!A:D,4,False)</f>
        <v>2500</v>
      </c>
      <c r="F6" s="2">
        <f t="shared" si="1"/>
        <v>2500</v>
      </c>
    </row>
    <row r="7" ht="22.5" customHeight="1">
      <c r="A7" s="2" t="s">
        <v>33</v>
      </c>
      <c r="B7" s="11">
        <f>VLOOKUP(A7,Appointment!A6:H16,4,False)</f>
        <v>46055</v>
      </c>
      <c r="C7" s="2" t="str">
        <f>VLOOKUP(A7,Appointment!A6:H16,2,FALSE)
</f>
        <v>Areeba Khan</v>
      </c>
      <c r="D7" s="2" t="str">
        <f>VLOOKUP(A7,Appointment!A7:H16,3,FALSE)</f>
        <v>D002</v>
      </c>
      <c r="E7" s="2">
        <f>VLOOKUP(D7,'Doctor Information'!A:D,4,False)</f>
        <v>1500</v>
      </c>
      <c r="F7" s="2">
        <f t="shared" si="1"/>
        <v>1500</v>
      </c>
    </row>
    <row r="8" ht="22.5" customHeight="1">
      <c r="A8" s="2" t="s">
        <v>35</v>
      </c>
      <c r="B8" s="11">
        <f>VLOOKUP(A8,Appointment!A7:H17,4,False)</f>
        <v>46055</v>
      </c>
      <c r="C8" s="2" t="str">
        <f>VLOOKUP(A8,Appointment!A7:H17,2,FALSE)
</f>
        <v>Salman Iqbal</v>
      </c>
      <c r="D8" s="2" t="str">
        <f>VLOOKUP(A8,Appointment!A8:H17,3,FALSE)</f>
        <v>D003</v>
      </c>
      <c r="E8" s="2">
        <f>VLOOKUP(D8,'Doctor Information'!A:D,4,False)</f>
        <v>1800</v>
      </c>
      <c r="F8" s="2">
        <f t="shared" si="1"/>
        <v>1800</v>
      </c>
    </row>
    <row r="9" ht="22.5" customHeight="1">
      <c r="A9" s="2" t="s">
        <v>37</v>
      </c>
      <c r="B9" s="11">
        <f>VLOOKUP(A9,Appointment!A8:H18,4,False)</f>
        <v>46055</v>
      </c>
      <c r="C9" s="2" t="str">
        <f>VLOOKUP(A9,Appointment!A8:H18,2,FALSE)
</f>
        <v>Noor Fatima</v>
      </c>
      <c r="D9" s="2" t="str">
        <f>VLOOKUP(A9,Appointment!A9:H18,3,FALSE)</f>
        <v>D004</v>
      </c>
      <c r="E9" s="2">
        <f>VLOOKUP(D9,'Doctor Information'!A:D,4,False)</f>
        <v>2500</v>
      </c>
      <c r="F9" s="2">
        <f t="shared" si="1"/>
        <v>2500</v>
      </c>
    </row>
    <row r="10" ht="22.5" customHeight="1">
      <c r="A10" s="2" t="s">
        <v>39</v>
      </c>
      <c r="B10" s="11">
        <f>VLOOKUP(A10,Appointment!A9:H19,4,False)</f>
        <v>46055</v>
      </c>
      <c r="C10" s="2" t="str">
        <f>VLOOKUP(A10,Appointment!A9:H19,2,FALSE)
</f>
        <v>Hamza Ali</v>
      </c>
      <c r="D10" s="2" t="str">
        <f>VLOOKUP(A10,Appointment!A10:H19,3,FALSE)</f>
        <v>D001</v>
      </c>
      <c r="E10" s="2">
        <f>VLOOKUP(D10,'Doctor Information'!A:D,4,False)</f>
        <v>2000</v>
      </c>
      <c r="F10" s="2">
        <f t="shared" si="1"/>
        <v>2000</v>
      </c>
    </row>
    <row r="11" ht="22.5" customHeight="1">
      <c r="A11" s="2" t="s">
        <v>41</v>
      </c>
      <c r="B11" s="11">
        <f>VLOOKUP(A11,Appointment!A10:H20,4,False)</f>
        <v>46055</v>
      </c>
      <c r="C11" s="2" t="str">
        <f>VLOOKUP(A11,Appointment!A10:H20,2,FALSE)
</f>
        <v>Zainab Noor</v>
      </c>
      <c r="D11" s="2" t="str">
        <f>VLOOKUP(A11,Appointment!A11:H20,3,FALSE)</f>
        <v>D002</v>
      </c>
      <c r="E11" s="2">
        <f>VLOOKUP(D11,'Doctor Information'!A:D,4,False)</f>
        <v>1500</v>
      </c>
      <c r="F11" s="2">
        <f t="shared" si="1"/>
        <v>1500</v>
      </c>
    </row>
  </sheetData>
  <dataValidations>
    <dataValidation type="custom" allowBlank="1" showDropDown="1" sqref="B2:B11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88"/>
    <col customWidth="1" min="3" max="3" width="16.13"/>
  </cols>
  <sheetData>
    <row r="1" ht="22.5" customHeight="1">
      <c r="A1" s="3" t="s">
        <v>45</v>
      </c>
      <c r="B1" s="3" t="s">
        <v>46</v>
      </c>
      <c r="C1" s="3" t="s">
        <v>47</v>
      </c>
    </row>
    <row r="2" ht="22.5" customHeight="1">
      <c r="A2" s="12">
        <v>46054.0</v>
      </c>
      <c r="B2" s="2">
        <f>COUNTIF(Billing!B2:B11,A2:A3)</f>
        <v>5</v>
      </c>
      <c r="C2" s="2">
        <f>SUMIF(Billing!B2:B11,A2:A3,Billing!F2:F11)</f>
        <v>9800</v>
      </c>
    </row>
    <row r="3" ht="22.5" customHeight="1">
      <c r="A3" s="12">
        <v>46055.0</v>
      </c>
      <c r="B3" s="2">
        <f>COUNTIF(Billing!B3:B12,A3:A4)</f>
        <v>5</v>
      </c>
      <c r="C3" s="2">
        <f>SUMIF(Billing!B2:B11,A2:A3,Billing!F2:F11)</f>
        <v>9300</v>
      </c>
    </row>
  </sheetData>
  <dataValidations>
    <dataValidation type="custom" allowBlank="1" showDropDown="1" sqref="A2:A3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15.88"/>
    <col customWidth="1" min="3" max="3" width="16.13"/>
  </cols>
  <sheetData>
    <row r="1" ht="22.5" customHeight="1">
      <c r="A1" s="1" t="s">
        <v>1</v>
      </c>
      <c r="B1" s="1" t="s">
        <v>46</v>
      </c>
      <c r="C1" s="1" t="s">
        <v>47</v>
      </c>
    </row>
    <row r="2" ht="22.5" customHeight="1">
      <c r="A2" s="2" t="str">
        <f>VLOOKUP('Doctor Information'!A1:A5, 'Doctor Information'!A2:D5, 2, FALSE)</f>
        <v>Dr. Ahmed Khan</v>
      </c>
      <c r="B2" s="2">
        <f>COUNTIF(Billing!D2:D11,'Doctor Information'!A2:A5)</f>
        <v>3</v>
      </c>
      <c r="C2" s="2">
        <f>SUMIF(Billing!D2:D11,Appointment!C2:C11,Billing!F2:F11)</f>
        <v>6000</v>
      </c>
    </row>
    <row r="3" ht="22.5" customHeight="1">
      <c r="A3" s="2" t="str">
        <f>VLOOKUP('Doctor Information'!A2:A6, 'Doctor Information'!A3:D6, 2, FALSE)</f>
        <v>Dr. Sara Ali</v>
      </c>
      <c r="B3" s="2">
        <f>COUNTIF(Billing!D3:D12,'Doctor Information'!A3:A6)</f>
        <v>3</v>
      </c>
      <c r="C3" s="2">
        <f>SUMIF(Billing!D3:D12,Appointment!C3:C12,Billing!F3:F12)</f>
        <v>4500</v>
      </c>
    </row>
    <row r="4" ht="22.5" customHeight="1">
      <c r="A4" s="2" t="str">
        <f>VLOOKUP('Doctor Information'!A3:A7, 'Doctor Information'!A4:D7, 2, FALSE)</f>
        <v>Dr. Usman Raza</v>
      </c>
      <c r="B4" s="2">
        <f>COUNTIF(Billing!D4:D13,'Doctor Information'!A4:A7)</f>
        <v>2</v>
      </c>
      <c r="C4" s="2">
        <f>SUMIF(Billing!D4:D13,Appointment!C4:C13,Billing!F4:F13)</f>
        <v>3600</v>
      </c>
    </row>
    <row r="5" ht="22.5" customHeight="1">
      <c r="A5" s="2" t="str">
        <f>VLOOKUP('Doctor Information'!A4:A8, 'Doctor Information'!A5:D8, 2, FALSE)</f>
        <v>Dr. Ayesha Noor</v>
      </c>
      <c r="B5" s="2">
        <f>COUNTIF(Billing!D5:D14,'Doctor Information'!A5:A8)</f>
        <v>2</v>
      </c>
      <c r="C5" s="2">
        <f>SUMIF(Billing!D2:D11, "D004", Billing!F2:F100)</f>
        <v>5000</v>
      </c>
    </row>
  </sheetData>
  <drawing r:id="rId1"/>
  <tableParts count="1">
    <tablePart r:id="rId3"/>
  </tableParts>
</worksheet>
</file>